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skarjain/Desktop/Financial projects/"/>
    </mc:Choice>
  </mc:AlternateContent>
  <xr:revisionPtr revIDLastSave="0" documentId="13_ncr:1_{CFC76BDC-F0E4-4149-AD96-8C3C04D8532B}" xr6:coauthVersionLast="47" xr6:coauthVersionMax="47" xr10:uidLastSave="{00000000-0000-0000-0000-000000000000}"/>
  <bookViews>
    <workbookView xWindow="0" yWindow="740" windowWidth="29400" windowHeight="18380" activeTab="2" xr2:uid="{55C15D35-E6A3-EC4B-86A5-F16DA8876649}"/>
  </bookViews>
  <sheets>
    <sheet name="Assumption sheet " sheetId="1" r:id="rId1"/>
    <sheet name="Historical Financial sheet " sheetId="2" r:id="rId2"/>
    <sheet name="Projection sheet " sheetId="3" r:id="rId3"/>
    <sheet name="DCF valuation" sheetId="4" r:id="rId4"/>
  </sheets>
  <definedNames>
    <definedName name="CAPEXPCT">'Assumption sheet '!$C$10</definedName>
    <definedName name="DEpreciationpct">'Assumption sheet '!$C$9</definedName>
    <definedName name="DIscountrate">'Assumption sheet '!$C$5</definedName>
    <definedName name="EBITMargin">'Assumption sheet '!$C$8</definedName>
    <definedName name="REvenuegrowthRate">'Assumption sheet '!$C$7</definedName>
    <definedName name="Taxrate">'Assumption sheet '!$C$6</definedName>
    <definedName name="WCpct">'Assumption sheet '!$C$11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E15" i="3"/>
  <c r="F15" i="3"/>
  <c r="G15" i="3"/>
  <c r="C15" i="3"/>
  <c r="D27" i="2"/>
  <c r="E14" i="3"/>
  <c r="F14" i="3"/>
  <c r="G14" i="3"/>
  <c r="D14" i="3"/>
  <c r="C14" i="3"/>
  <c r="C6" i="4"/>
  <c r="G6" i="4"/>
  <c r="F6" i="4"/>
  <c r="E6" i="4"/>
  <c r="D6" i="4"/>
  <c r="C27" i="2"/>
  <c r="B27" i="2"/>
  <c r="C3" i="3"/>
  <c r="C12" i="3" s="1"/>
  <c r="I8" i="2"/>
  <c r="J8" i="2"/>
  <c r="H8" i="2"/>
  <c r="I7" i="2"/>
  <c r="J7" i="2"/>
  <c r="H7" i="2"/>
  <c r="I6" i="2"/>
  <c r="J6" i="2"/>
  <c r="H6" i="2"/>
  <c r="C6" i="3" l="1"/>
  <c r="D3" i="3"/>
  <c r="C4" i="3"/>
  <c r="C5" i="3" s="1"/>
  <c r="C8" i="3"/>
  <c r="C13" i="3"/>
  <c r="C7" i="3" l="1"/>
  <c r="C9" i="3" s="1"/>
  <c r="C10" i="3" s="1"/>
  <c r="C11" i="3" s="1"/>
  <c r="C5" i="4" s="1"/>
  <c r="C7" i="4" s="1"/>
  <c r="D8" i="3"/>
  <c r="D12" i="3"/>
  <c r="D4" i="3"/>
  <c r="D5" i="3" s="1"/>
  <c r="D6" i="3"/>
  <c r="D13" i="3"/>
  <c r="E3" i="3"/>
  <c r="E12" i="3" s="1"/>
  <c r="D7" i="3" l="1"/>
  <c r="D9" i="3" s="1"/>
  <c r="D10" i="3" s="1"/>
  <c r="D11" i="3" s="1"/>
  <c r="D5" i="4" s="1"/>
  <c r="D7" i="4" s="1"/>
  <c r="F3" i="3"/>
  <c r="F12" i="3" s="1"/>
  <c r="E13" i="3"/>
  <c r="E6" i="3"/>
  <c r="E4" i="3"/>
  <c r="E5" i="3" s="1"/>
  <c r="E7" i="3" s="1"/>
  <c r="E8" i="3"/>
  <c r="E9" i="3" l="1"/>
  <c r="E10" i="3" s="1"/>
  <c r="E11" i="3" s="1"/>
  <c r="E5" i="4" s="1"/>
  <c r="E7" i="4" s="1"/>
  <c r="G3" i="3"/>
  <c r="G12" i="3" s="1"/>
  <c r="F6" i="3"/>
  <c r="F13" i="3"/>
  <c r="F8" i="3"/>
  <c r="F4" i="3"/>
  <c r="F5" i="3" s="1"/>
  <c r="F7" i="3" s="1"/>
  <c r="F9" i="3" s="1"/>
  <c r="F10" i="3" l="1"/>
  <c r="F11" i="3" s="1"/>
  <c r="F5" i="4" s="1"/>
  <c r="F7" i="4" s="1"/>
  <c r="G8" i="3"/>
  <c r="G13" i="3"/>
  <c r="G4" i="3"/>
  <c r="G5" i="3" s="1"/>
  <c r="G6" i="3"/>
  <c r="G7" i="3" l="1"/>
  <c r="G9" i="3" s="1"/>
  <c r="G10" i="3" l="1"/>
  <c r="G11" i="3" s="1"/>
  <c r="G5" i="4" s="1"/>
  <c r="G8" i="4" s="1"/>
  <c r="G9" i="4" l="1"/>
  <c r="G7" i="4"/>
  <c r="G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C4" authorId="0" shapeId="0" xr:uid="{C0F055E7-DA3D-0842-849C-FEA0896E22F1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here we multiply 2023 vrevenue with cogs % of 2022 so that we get acutal thing s
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C15" authorId="0" shapeId="0" xr:uid="{18EFFB60-756D-0248-91DF-35A5CFDEA5D1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 income + depreciation-CAPEX-CHNG in working capital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Sanskar Jain</author>
  </authors>
  <commentList>
    <comment ref="C5" authorId="0" shapeId="0" xr:uid="{19F48209-1ED5-8E41-8779-5D5D4E3ED80D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net income + depreciation-CAPEX-CHNG in working capital</t>
        </r>
      </text>
    </comment>
    <comment ref="G8" authorId="0" shapeId="0" xr:uid="{FD1BCD05-DBF6-8D45-88E6-34A72E7084E3}">
      <text>
        <r>
          <rPr>
            <b/>
            <sz val="10"/>
            <color rgb="FF000000"/>
            <rFont val="Tahoma"/>
            <family val="2"/>
          </rPr>
          <t>Sanskar Jain: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last year FCF *(1+growth rate )/(wacc-g)
</t>
        </r>
      </text>
    </comment>
  </commentList>
</comments>
</file>

<file path=xl/sharedStrings.xml><?xml version="1.0" encoding="utf-8"?>
<sst xmlns="http://schemas.openxmlformats.org/spreadsheetml/2006/main" count="98" uniqueCount="77">
  <si>
    <t>Weighted Average Cost of Capital</t>
  </si>
  <si>
    <t>A (Input)</t>
  </si>
  <si>
    <t>B (Value)</t>
  </si>
  <si>
    <t>C (Notes)</t>
  </si>
  <si>
    <t>Discount Rate (WACC)</t>
  </si>
  <si>
    <t>Tax Rate</t>
  </si>
  <si>
    <t>Effective tax rate</t>
  </si>
  <si>
    <t>Revenue Growth Rate</t>
  </si>
  <si>
    <t>Yearly projection growth</t>
  </si>
  <si>
    <t>EBIT Margin</t>
  </si>
  <si>
    <t>Historical average or assumption</t>
  </si>
  <si>
    <t>Depreciation as % of Revenue</t>
  </si>
  <si>
    <t>Historical trend</t>
  </si>
  <si>
    <t>CAPEX as % of Revenue</t>
  </si>
  <si>
    <t>Working Capital % of Revenue</t>
  </si>
  <si>
    <t>Accounts receivable + inventory - payables</t>
  </si>
  <si>
    <t>A (Line Item)</t>
  </si>
  <si>
    <t>Revenue</t>
  </si>
  <si>
    <t>Cost of Goods Sold (COGS)</t>
  </si>
  <si>
    <t>Gross Profit</t>
  </si>
  <si>
    <t>Operating Expenses (OPEX)</t>
  </si>
  <si>
    <t>EBITDA</t>
  </si>
  <si>
    <t>Depreciation &amp; Amortization</t>
  </si>
  <si>
    <t>EBIT</t>
  </si>
  <si>
    <t>Taxes</t>
  </si>
  <si>
    <t>Net Income</t>
  </si>
  <si>
    <t>A</t>
  </si>
  <si>
    <t>B (2020)</t>
  </si>
  <si>
    <t>C (2021)</t>
  </si>
  <si>
    <t>D (2022)</t>
  </si>
  <si>
    <t>COGS</t>
  </si>
  <si>
    <t>OPEX</t>
  </si>
  <si>
    <t>Depreciation</t>
  </si>
  <si>
    <t>Interest</t>
  </si>
  <si>
    <t>EBT</t>
  </si>
  <si>
    <t>Cash &amp; Equivalents</t>
  </si>
  <si>
    <t>Accounts Receivable</t>
  </si>
  <si>
    <t>Inventory</t>
  </si>
  <si>
    <t>PP&amp;E</t>
  </si>
  <si>
    <t>Total Assets</t>
  </si>
  <si>
    <t>Debt</t>
  </si>
  <si>
    <t>Accounts Payable</t>
  </si>
  <si>
    <t>Total Liabilities</t>
  </si>
  <si>
    <t>Equity</t>
  </si>
  <si>
    <t>Total Liabilities + Equity</t>
  </si>
  <si>
    <t>Operating Cash Flow</t>
  </si>
  <si>
    <t>CAPEX</t>
  </si>
  <si>
    <t>Free Cash Flow</t>
  </si>
  <si>
    <t>2020</t>
  </si>
  <si>
    <t>2021</t>
  </si>
  <si>
    <t>2022</t>
  </si>
  <si>
    <t>Free Cash Flow (FCF)</t>
  </si>
  <si>
    <t xml:space="preserve">working capital </t>
  </si>
  <si>
    <t>2023</t>
  </si>
  <si>
    <t>2024</t>
  </si>
  <si>
    <t>2025</t>
  </si>
  <si>
    <t>2026</t>
  </si>
  <si>
    <t>2027</t>
  </si>
  <si>
    <t>Discount factors</t>
  </si>
  <si>
    <t>Present Value of FCF</t>
  </si>
  <si>
    <t xml:space="preserve">Terminal value </t>
  </si>
  <si>
    <t xml:space="preserve">PV Of terminal </t>
  </si>
  <si>
    <t xml:space="preserve">Enterprise value </t>
  </si>
  <si>
    <t>Balance Sheet</t>
  </si>
  <si>
    <t>Gross Margin</t>
  </si>
  <si>
    <t xml:space="preserve">Ebidta Margin </t>
  </si>
  <si>
    <t xml:space="preserve">Net Margin </t>
  </si>
  <si>
    <t xml:space="preserve">Margin  and Ratio </t>
  </si>
  <si>
    <t>Year</t>
  </si>
  <si>
    <t xml:space="preserve">Income Statement </t>
  </si>
  <si>
    <t xml:space="preserve">Cash flow </t>
  </si>
  <si>
    <t>Assumption Sheet</t>
  </si>
  <si>
    <t>Working Capital</t>
  </si>
  <si>
    <t>Chng In Working Capital</t>
  </si>
  <si>
    <t>DCF Valuation</t>
  </si>
  <si>
    <t>Iteam</t>
  </si>
  <si>
    <t>Projection 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</si>
</sst>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18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scheme val="minor"/>
    </font>
    <font>
      <b/>
      <sz val="20"/>
      <color rgb="FF000000"/>
      <name val="Aptos Narrow"/>
      <scheme val="minor"/>
    </font>
    <font>
      <b/>
      <sz val="18"/>
      <color theme="0"/>
      <name val="Aptos Narrow"/>
      <scheme val="minor"/>
    </font>
    <font>
      <b/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11" fillId="2" borderId="6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0" fillId="0" borderId="0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7" fillId="3" borderId="0" xfId="0" applyFont="1" applyFill="1" applyBorder="1"/>
    <xf numFmtId="0" fontId="7" fillId="7" borderId="7" xfId="0" applyFont="1" applyFill="1" applyBorder="1"/>
    <xf numFmtId="0" fontId="7" fillId="6" borderId="7" xfId="0" applyFont="1" applyFill="1" applyBorder="1"/>
    <xf numFmtId="9" fontId="14" fillId="7" borderId="7" xfId="0" applyNumberFormat="1" applyFont="1" applyFill="1" applyBorder="1"/>
    <xf numFmtId="9" fontId="14" fillId="6" borderId="7" xfId="0" applyNumberFormat="1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8" fillId="5" borderId="7" xfId="0" applyFont="1" applyFill="1" applyBorder="1"/>
    <xf numFmtId="0" fontId="15" fillId="7" borderId="7" xfId="0" applyFont="1" applyFill="1" applyBorder="1"/>
    <xf numFmtId="9" fontId="9" fillId="7" borderId="7" xfId="0" applyNumberFormat="1" applyFont="1" applyFill="1" applyBorder="1"/>
    <xf numFmtId="0" fontId="9" fillId="7" borderId="7" xfId="0" applyFont="1" applyFill="1" applyBorder="1"/>
    <xf numFmtId="0" fontId="15" fillId="6" borderId="7" xfId="0" applyFont="1" applyFill="1" applyBorder="1"/>
    <xf numFmtId="9" fontId="9" fillId="6" borderId="7" xfId="0" applyNumberFormat="1" applyFont="1" applyFill="1" applyBorder="1"/>
    <xf numFmtId="0" fontId="9" fillId="6" borderId="7" xfId="0" applyFont="1" applyFill="1" applyBorder="1"/>
    <xf numFmtId="0" fontId="16" fillId="2" borderId="6" xfId="0" applyFont="1" applyFill="1" applyBorder="1" applyAlignment="1">
      <alignment horizontal="center"/>
    </xf>
    <xf numFmtId="0" fontId="0" fillId="0" borderId="7" xfId="0" applyBorder="1"/>
    <xf numFmtId="0" fontId="2" fillId="0" borderId="7" xfId="0" applyFont="1" applyBorder="1"/>
    <xf numFmtId="3" fontId="2" fillId="0" borderId="7" xfId="0" applyNumberFormat="1" applyFont="1" applyBorder="1"/>
    <xf numFmtId="0" fontId="7" fillId="0" borderId="0" xfId="0" applyFont="1" applyBorder="1" applyAlignment="1"/>
    <xf numFmtId="0" fontId="0" fillId="7" borderId="0" xfId="0" applyFont="1" applyFill="1" applyBorder="1"/>
    <xf numFmtId="0" fontId="5" fillId="7" borderId="7" xfId="0" applyFont="1" applyFill="1" applyBorder="1"/>
    <xf numFmtId="9" fontId="5" fillId="6" borderId="7" xfId="0" applyNumberFormat="1" applyFont="1" applyFill="1" applyBorder="1"/>
    <xf numFmtId="0" fontId="5" fillId="6" borderId="8" xfId="0" applyFont="1" applyFill="1" applyBorder="1"/>
    <xf numFmtId="9" fontId="5" fillId="6" borderId="9" xfId="0" applyNumberFormat="1" applyFont="1" applyFill="1" applyBorder="1"/>
    <xf numFmtId="0" fontId="5" fillId="7" borderId="8" xfId="0" applyFont="1" applyFill="1" applyBorder="1"/>
    <xf numFmtId="0" fontId="5" fillId="7" borderId="9" xfId="0" applyFont="1" applyFill="1" applyBorder="1"/>
    <xf numFmtId="0" fontId="17" fillId="5" borderId="1" xfId="0" applyFont="1" applyFill="1" applyBorder="1"/>
    <xf numFmtId="0" fontId="17" fillId="5" borderId="2" xfId="0" applyFont="1" applyFill="1" applyBorder="1"/>
    <xf numFmtId="0" fontId="17" fillId="5" borderId="3" xfId="0" applyFont="1" applyFill="1" applyBorder="1"/>
    <xf numFmtId="164" fontId="0" fillId="7" borderId="7" xfId="1" applyNumberFormat="1" applyFont="1" applyFill="1" applyBorder="1"/>
    <xf numFmtId="164" fontId="0" fillId="6" borderId="7" xfId="1" applyNumberFormat="1" applyFont="1" applyFill="1" applyBorder="1"/>
    <xf numFmtId="0" fontId="1" fillId="5" borderId="15" xfId="0" applyFont="1" applyFill="1" applyBorder="1"/>
    <xf numFmtId="165" fontId="12" fillId="5" borderId="16" xfId="0" applyNumberFormat="1" applyFont="1" applyFill="1" applyBorder="1"/>
    <xf numFmtId="0" fontId="12" fillId="5" borderId="16" xfId="0" applyFont="1" applyFill="1" applyBorder="1" applyAlignment="1">
      <alignment horizontal="left"/>
    </xf>
    <xf numFmtId="0" fontId="12" fillId="5" borderId="16" xfId="0" applyFont="1" applyFill="1" applyBorder="1"/>
    <xf numFmtId="0" fontId="12" fillId="5" borderId="17" xfId="0" applyFont="1" applyFill="1" applyBorder="1"/>
    <xf numFmtId="0" fontId="2" fillId="8" borderId="8" xfId="0" applyFont="1" applyFill="1" applyBorder="1"/>
    <xf numFmtId="164" fontId="0" fillId="7" borderId="9" xfId="1" applyNumberFormat="1" applyFont="1" applyFill="1" applyBorder="1"/>
    <xf numFmtId="0" fontId="2" fillId="9" borderId="8" xfId="0" applyFont="1" applyFill="1" applyBorder="1"/>
    <xf numFmtId="164" fontId="0" fillId="6" borderId="9" xfId="1" applyNumberFormat="1" applyFont="1" applyFill="1" applyBorder="1"/>
    <xf numFmtId="0" fontId="2" fillId="9" borderId="10" xfId="0" applyFont="1" applyFill="1" applyBorder="1"/>
    <xf numFmtId="164" fontId="0" fillId="6" borderId="11" xfId="1" applyNumberFormat="1" applyFont="1" applyFill="1" applyBorder="1"/>
    <xf numFmtId="164" fontId="0" fillId="6" borderId="12" xfId="1" applyNumberFormat="1" applyFont="1" applyFill="1" applyBorder="1"/>
    <xf numFmtId="0" fontId="6" fillId="7" borderId="8" xfId="0" applyFont="1" applyFill="1" applyBorder="1"/>
    <xf numFmtId="0" fontId="5" fillId="6" borderId="18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3" borderId="9" xfId="0" applyFont="1" applyFill="1" applyBorder="1"/>
    <xf numFmtId="0" fontId="5" fillId="4" borderId="9" xfId="0" applyFont="1" applyFill="1" applyBorder="1"/>
    <xf numFmtId="0" fontId="5" fillId="3" borderId="10" xfId="0" applyFont="1" applyFill="1" applyBorder="1"/>
    <xf numFmtId="0" fontId="5" fillId="10" borderId="12" xfId="0" applyFont="1" applyFill="1" applyBorder="1"/>
    <xf numFmtId="0" fontId="13" fillId="2" borderId="1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71FB-BE68-2A4A-A667-251F639B1F03}">
  <dimension ref="B3:D11"/>
  <sheetViews>
    <sheetView showGridLines="0" workbookViewId="0">
      <selection activeCell="B3" sqref="B3"/>
    </sheetView>
  </sheetViews>
  <sheetFormatPr baseColWidth="10" defaultRowHeight="16" x14ac:dyDescent="0.2"/>
  <cols>
    <col min="1" max="1" width="42" bestFit="1" customWidth="1"/>
    <col min="2" max="2" width="43.6640625" bestFit="1" customWidth="1"/>
    <col min="3" max="3" width="28.83203125" customWidth="1"/>
    <col min="4" max="4" width="59.5" bestFit="1" customWidth="1"/>
  </cols>
  <sheetData>
    <row r="3" spans="2:4" ht="24" x14ac:dyDescent="0.3">
      <c r="B3" s="27" t="s">
        <v>71</v>
      </c>
    </row>
    <row r="4" spans="2:4" ht="27" x14ac:dyDescent="0.35">
      <c r="B4" s="20" t="s">
        <v>1</v>
      </c>
      <c r="C4" s="20" t="s">
        <v>2</v>
      </c>
      <c r="D4" s="20" t="s">
        <v>3</v>
      </c>
    </row>
    <row r="5" spans="2:4" ht="27" x14ac:dyDescent="0.35">
      <c r="B5" s="21" t="s">
        <v>4</v>
      </c>
      <c r="C5" s="22">
        <v>0.1</v>
      </c>
      <c r="D5" s="23" t="s">
        <v>0</v>
      </c>
    </row>
    <row r="6" spans="2:4" ht="27" x14ac:dyDescent="0.35">
      <c r="B6" s="24" t="s">
        <v>5</v>
      </c>
      <c r="C6" s="25">
        <v>0.25</v>
      </c>
      <c r="D6" s="26" t="s">
        <v>6</v>
      </c>
    </row>
    <row r="7" spans="2:4" ht="27" x14ac:dyDescent="0.35">
      <c r="B7" s="21" t="s">
        <v>7</v>
      </c>
      <c r="C7" s="22">
        <v>0.08</v>
      </c>
      <c r="D7" s="23" t="s">
        <v>8</v>
      </c>
    </row>
    <row r="8" spans="2:4" ht="27" x14ac:dyDescent="0.35">
      <c r="B8" s="24" t="s">
        <v>9</v>
      </c>
      <c r="C8" s="25">
        <v>0.15</v>
      </c>
      <c r="D8" s="26" t="s">
        <v>10</v>
      </c>
    </row>
    <row r="9" spans="2:4" ht="27" x14ac:dyDescent="0.35">
      <c r="B9" s="21" t="s">
        <v>11</v>
      </c>
      <c r="C9" s="22">
        <v>0.03</v>
      </c>
      <c r="D9" s="23" t="s">
        <v>12</v>
      </c>
    </row>
    <row r="10" spans="2:4" ht="27" x14ac:dyDescent="0.35">
      <c r="B10" s="24" t="s">
        <v>13</v>
      </c>
      <c r="C10" s="25">
        <v>0.05</v>
      </c>
      <c r="D10" s="26" t="s">
        <v>12</v>
      </c>
    </row>
    <row r="11" spans="2:4" ht="27" x14ac:dyDescent="0.35">
      <c r="B11" s="21" t="s">
        <v>14</v>
      </c>
      <c r="C11" s="22">
        <v>0.1</v>
      </c>
      <c r="D11" s="2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FD2E-4014-5D43-ADF0-71895343EEE8}">
  <dimension ref="A1:J33"/>
  <sheetViews>
    <sheetView showGridLines="0" zoomScale="125" workbookViewId="0">
      <selection activeCell="G4" sqref="G4:J4"/>
    </sheetView>
  </sheetViews>
  <sheetFormatPr baseColWidth="10" defaultRowHeight="16" x14ac:dyDescent="0.2"/>
  <cols>
    <col min="1" max="1" width="24.33203125" bestFit="1" customWidth="1"/>
    <col min="2" max="2" width="20.1640625" bestFit="1" customWidth="1"/>
    <col min="3" max="5" width="11" customWidth="1"/>
    <col min="7" max="7" width="13.5" bestFit="1" customWidth="1"/>
  </cols>
  <sheetData>
    <row r="1" spans="1:10" ht="23" thickBot="1" x14ac:dyDescent="0.35">
      <c r="A1" s="71" t="s">
        <v>69</v>
      </c>
      <c r="E1" s="1"/>
      <c r="F1" s="1"/>
      <c r="G1" s="1"/>
      <c r="H1" s="1"/>
    </row>
    <row r="2" spans="1:10" x14ac:dyDescent="0.2">
      <c r="A2" s="3" t="s">
        <v>26</v>
      </c>
      <c r="B2" s="4" t="s">
        <v>27</v>
      </c>
      <c r="C2" s="4" t="s">
        <v>28</v>
      </c>
      <c r="D2" s="5" t="s">
        <v>29</v>
      </c>
    </row>
    <row r="3" spans="1:10" ht="17" thickBot="1" x14ac:dyDescent="0.25">
      <c r="A3" s="28" t="s">
        <v>17</v>
      </c>
      <c r="B3" s="28">
        <v>56585</v>
      </c>
      <c r="C3" s="28">
        <v>64390</v>
      </c>
      <c r="D3" s="28">
        <v>67070</v>
      </c>
    </row>
    <row r="4" spans="1:10" ht="22" x14ac:dyDescent="0.3">
      <c r="A4" s="28" t="s">
        <v>30</v>
      </c>
      <c r="B4" s="28">
        <v>43800</v>
      </c>
      <c r="C4" s="28">
        <v>49100</v>
      </c>
      <c r="D4" s="28">
        <v>51200</v>
      </c>
      <c r="G4" s="72" t="s">
        <v>67</v>
      </c>
      <c r="H4" s="73"/>
      <c r="I4" s="73"/>
      <c r="J4" s="74"/>
    </row>
    <row r="5" spans="1:10" x14ac:dyDescent="0.2">
      <c r="A5" s="28" t="s">
        <v>19</v>
      </c>
      <c r="B5" s="28">
        <v>12785</v>
      </c>
      <c r="C5" s="28">
        <v>15290</v>
      </c>
      <c r="D5" s="28">
        <v>15870</v>
      </c>
      <c r="G5" s="15" t="s">
        <v>68</v>
      </c>
      <c r="H5" s="10" t="s">
        <v>48</v>
      </c>
      <c r="I5" s="10" t="s">
        <v>49</v>
      </c>
      <c r="J5" s="16" t="s">
        <v>50</v>
      </c>
    </row>
    <row r="6" spans="1:10" x14ac:dyDescent="0.2">
      <c r="A6" s="28" t="s">
        <v>31</v>
      </c>
      <c r="B6" s="28">
        <v>6200</v>
      </c>
      <c r="C6" s="28">
        <v>6500</v>
      </c>
      <c r="D6" s="28">
        <v>6800</v>
      </c>
      <c r="G6" s="11" t="s">
        <v>64</v>
      </c>
      <c r="H6" s="13">
        <f>B5/B3</f>
        <v>0.22594327118494301</v>
      </c>
      <c r="I6" s="13">
        <f>C5/C3</f>
        <v>0.23745923280012424</v>
      </c>
      <c r="J6" s="13">
        <f>D5/D3</f>
        <v>0.23661845832712092</v>
      </c>
    </row>
    <row r="7" spans="1:10" x14ac:dyDescent="0.2">
      <c r="A7" s="28" t="s">
        <v>21</v>
      </c>
      <c r="B7" s="28">
        <v>6585</v>
      </c>
      <c r="C7" s="28">
        <v>8790</v>
      </c>
      <c r="D7" s="28">
        <v>9070</v>
      </c>
      <c r="G7" s="12" t="s">
        <v>65</v>
      </c>
      <c r="H7" s="14">
        <f>B7/B3</f>
        <v>0.11637359724308563</v>
      </c>
      <c r="I7" s="14">
        <f>C7/C3</f>
        <v>0.13651188072682094</v>
      </c>
      <c r="J7" s="14">
        <f>D7/D3</f>
        <v>0.13523184732369167</v>
      </c>
    </row>
    <row r="8" spans="1:10" x14ac:dyDescent="0.2">
      <c r="A8" s="28" t="s">
        <v>32</v>
      </c>
      <c r="B8" s="28">
        <v>1200</v>
      </c>
      <c r="C8" s="28">
        <v>1250</v>
      </c>
      <c r="D8" s="28">
        <v>1300</v>
      </c>
      <c r="G8" s="11" t="s">
        <v>66</v>
      </c>
      <c r="H8" s="13">
        <f>B13/B3</f>
        <v>6.475214279402669E-2</v>
      </c>
      <c r="I8" s="13">
        <f>C13/C3</f>
        <v>8.1410156856654758E-2</v>
      </c>
      <c r="J8" s="13">
        <f>D13/D3</f>
        <v>8.0184881467123895E-2</v>
      </c>
    </row>
    <row r="9" spans="1:10" x14ac:dyDescent="0.2">
      <c r="A9" s="28" t="s">
        <v>23</v>
      </c>
      <c r="B9" s="28">
        <v>5385</v>
      </c>
      <c r="C9" s="28">
        <v>7540</v>
      </c>
      <c r="D9" s="28">
        <v>7770</v>
      </c>
    </row>
    <row r="10" spans="1:10" x14ac:dyDescent="0.2">
      <c r="A10" s="28" t="s">
        <v>33</v>
      </c>
      <c r="B10" s="28">
        <v>500</v>
      </c>
      <c r="C10" s="28">
        <v>550</v>
      </c>
      <c r="D10" s="28">
        <v>600</v>
      </c>
    </row>
    <row r="11" spans="1:10" x14ac:dyDescent="0.2">
      <c r="A11" s="28" t="s">
        <v>34</v>
      </c>
      <c r="B11" s="28">
        <v>4885</v>
      </c>
      <c r="C11" s="28">
        <v>6990</v>
      </c>
      <c r="D11" s="28">
        <v>7170</v>
      </c>
    </row>
    <row r="12" spans="1:10" x14ac:dyDescent="0.2">
      <c r="A12" s="28" t="s">
        <v>24</v>
      </c>
      <c r="B12" s="28">
        <v>1221</v>
      </c>
      <c r="C12" s="28">
        <v>1748</v>
      </c>
      <c r="D12" s="28">
        <v>1792</v>
      </c>
    </row>
    <row r="13" spans="1:10" x14ac:dyDescent="0.2">
      <c r="A13" s="28" t="s">
        <v>25</v>
      </c>
      <c r="B13" s="28">
        <v>3664</v>
      </c>
      <c r="C13" s="28">
        <v>5242</v>
      </c>
      <c r="D13" s="28">
        <v>5378</v>
      </c>
    </row>
    <row r="15" spans="1:10" ht="23" thickBot="1" x14ac:dyDescent="0.35">
      <c r="A15" s="71" t="s">
        <v>63</v>
      </c>
    </row>
    <row r="16" spans="1:10" x14ac:dyDescent="0.2">
      <c r="A16" s="17" t="s">
        <v>26</v>
      </c>
      <c r="B16" s="18" t="s">
        <v>27</v>
      </c>
      <c r="C16" s="18" t="s">
        <v>28</v>
      </c>
      <c r="D16" s="19" t="s">
        <v>29</v>
      </c>
    </row>
    <row r="17" spans="1:6" x14ac:dyDescent="0.2">
      <c r="A17" s="29" t="s">
        <v>35</v>
      </c>
      <c r="B17" s="30">
        <v>8802</v>
      </c>
      <c r="C17" s="30">
        <v>7832</v>
      </c>
      <c r="D17" s="30">
        <v>7500</v>
      </c>
    </row>
    <row r="18" spans="1:6" x14ac:dyDescent="0.2">
      <c r="A18" s="29" t="s">
        <v>36</v>
      </c>
      <c r="B18" s="30">
        <v>5000</v>
      </c>
      <c r="C18" s="30">
        <v>5200</v>
      </c>
      <c r="D18" s="30">
        <v>5400</v>
      </c>
      <c r="F18" s="28"/>
    </row>
    <row r="19" spans="1:6" x14ac:dyDescent="0.2">
      <c r="A19" s="29" t="s">
        <v>37</v>
      </c>
      <c r="B19" s="30">
        <v>3000</v>
      </c>
      <c r="C19" s="30">
        <v>3200</v>
      </c>
      <c r="D19" s="30">
        <v>3400</v>
      </c>
    </row>
    <row r="20" spans="1:6" x14ac:dyDescent="0.2">
      <c r="A20" s="29" t="s">
        <v>38</v>
      </c>
      <c r="B20" s="30">
        <v>10000</v>
      </c>
      <c r="C20" s="30">
        <v>10500</v>
      </c>
      <c r="D20" s="30">
        <v>11000</v>
      </c>
    </row>
    <row r="21" spans="1:6" x14ac:dyDescent="0.2">
      <c r="A21" s="29" t="s">
        <v>39</v>
      </c>
      <c r="B21" s="30">
        <v>30000</v>
      </c>
      <c r="C21" s="30">
        <v>31000</v>
      </c>
      <c r="D21" s="30">
        <v>32000</v>
      </c>
    </row>
    <row r="22" spans="1:6" x14ac:dyDescent="0.2">
      <c r="A22" s="29" t="s">
        <v>40</v>
      </c>
      <c r="B22" s="30">
        <v>10000</v>
      </c>
      <c r="C22" s="30">
        <v>10500</v>
      </c>
      <c r="D22" s="30">
        <v>11000</v>
      </c>
    </row>
    <row r="23" spans="1:6" x14ac:dyDescent="0.2">
      <c r="A23" s="29" t="s">
        <v>41</v>
      </c>
      <c r="B23" s="30">
        <v>4000</v>
      </c>
      <c r="C23" s="30">
        <v>4200</v>
      </c>
      <c r="D23" s="30">
        <v>4400</v>
      </c>
    </row>
    <row r="24" spans="1:6" x14ac:dyDescent="0.2">
      <c r="A24" s="29" t="s">
        <v>42</v>
      </c>
      <c r="B24" s="30">
        <v>14000</v>
      </c>
      <c r="C24" s="30">
        <v>14700</v>
      </c>
      <c r="D24" s="30">
        <v>15400</v>
      </c>
    </row>
    <row r="25" spans="1:6" x14ac:dyDescent="0.2">
      <c r="A25" s="29" t="s">
        <v>43</v>
      </c>
      <c r="B25" s="30">
        <v>16000</v>
      </c>
      <c r="C25" s="30">
        <v>16300</v>
      </c>
      <c r="D25" s="30">
        <v>16600</v>
      </c>
    </row>
    <row r="26" spans="1:6" x14ac:dyDescent="0.2">
      <c r="A26" s="29" t="s">
        <v>44</v>
      </c>
      <c r="B26" s="30">
        <v>30000</v>
      </c>
      <c r="C26" s="30">
        <v>31000</v>
      </c>
      <c r="D26" s="30">
        <v>32000</v>
      </c>
    </row>
    <row r="27" spans="1:6" x14ac:dyDescent="0.2">
      <c r="A27" s="29" t="s">
        <v>52</v>
      </c>
      <c r="B27" s="30">
        <f>B18+B19-B23</f>
        <v>4000</v>
      </c>
      <c r="C27" s="30">
        <f t="shared" ref="C27:D27" si="0">C18+C19-C23</f>
        <v>4200</v>
      </c>
      <c r="D27" s="30">
        <f>D18+D19-D23</f>
        <v>4400</v>
      </c>
    </row>
    <row r="29" spans="1:6" ht="23" thickBot="1" x14ac:dyDescent="0.35">
      <c r="A29" s="71" t="s">
        <v>70</v>
      </c>
    </row>
    <row r="30" spans="1:6" x14ac:dyDescent="0.2">
      <c r="A30" s="7" t="s">
        <v>26</v>
      </c>
      <c r="B30" s="8" t="s">
        <v>27</v>
      </c>
      <c r="C30" s="8" t="s">
        <v>28</v>
      </c>
      <c r="D30" s="9" t="s">
        <v>29</v>
      </c>
    </row>
    <row r="31" spans="1:6" x14ac:dyDescent="0.2">
      <c r="A31" s="28" t="s">
        <v>45</v>
      </c>
      <c r="B31" s="28">
        <v>7883</v>
      </c>
      <c r="C31" s="28">
        <v>7159</v>
      </c>
      <c r="D31" s="28">
        <v>5847</v>
      </c>
    </row>
    <row r="32" spans="1:6" x14ac:dyDescent="0.2">
      <c r="A32" s="28" t="s">
        <v>46</v>
      </c>
      <c r="B32" s="28">
        <v>1500</v>
      </c>
      <c r="C32" s="28">
        <v>1600</v>
      </c>
      <c r="D32" s="28">
        <v>1700</v>
      </c>
    </row>
    <row r="33" spans="1:4" x14ac:dyDescent="0.2">
      <c r="A33" s="28" t="s">
        <v>47</v>
      </c>
      <c r="B33" s="28">
        <v>6383</v>
      </c>
      <c r="C33" s="28">
        <v>5559</v>
      </c>
      <c r="D33" s="28">
        <v>4147</v>
      </c>
    </row>
  </sheetData>
  <mergeCells count="2">
    <mergeCell ref="E1:H1"/>
    <mergeCell ref="G4:J4"/>
  </mergeCells>
  <pageMargins left="0.7" right="0.7" top="0.75" bottom="0.75" header="0.3" footer="0.3"/>
  <ignoredErrors>
    <ignoredError sqref="H5:J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2AD0-9832-C243-865D-678EFCCC7705}">
  <dimension ref="B1:G15"/>
  <sheetViews>
    <sheetView showGridLines="0" tabSelected="1" zoomScale="229" workbookViewId="0">
      <selection activeCell="B1" sqref="B1"/>
    </sheetView>
  </sheetViews>
  <sheetFormatPr baseColWidth="10" defaultRowHeight="16" x14ac:dyDescent="0.2"/>
  <cols>
    <col min="1" max="2" width="24.33203125" bestFit="1" customWidth="1"/>
    <col min="3" max="3" width="11.1640625" bestFit="1" customWidth="1"/>
  </cols>
  <sheetData>
    <row r="1" spans="2:7" ht="17" thickBot="1" x14ac:dyDescent="0.25">
      <c r="B1" s="2" t="s">
        <v>76</v>
      </c>
    </row>
    <row r="2" spans="2:7" x14ac:dyDescent="0.2">
      <c r="B2" s="44" t="s">
        <v>16</v>
      </c>
      <c r="C2" s="45" t="s">
        <v>53</v>
      </c>
      <c r="D2" s="46">
        <v>2024</v>
      </c>
      <c r="E2" s="47" t="s">
        <v>55</v>
      </c>
      <c r="F2" s="47" t="s">
        <v>56</v>
      </c>
      <c r="G2" s="48" t="s">
        <v>57</v>
      </c>
    </row>
    <row r="3" spans="2:7" x14ac:dyDescent="0.2">
      <c r="B3" s="49" t="s">
        <v>17</v>
      </c>
      <c r="C3" s="42">
        <f>'Historical Financial sheet '!$D3*(1+REvenuegrowthRate)</f>
        <v>72435.600000000006</v>
      </c>
      <c r="D3" s="42">
        <f>C3*(1+REvenuegrowthRate)</f>
        <v>78230.448000000019</v>
      </c>
      <c r="E3" s="42">
        <f>D3*(1+REvenuegrowthRate)</f>
        <v>84488.883840000024</v>
      </c>
      <c r="F3" s="42">
        <f>E3*(1+REvenuegrowthRate)</f>
        <v>91247.994547200025</v>
      </c>
      <c r="G3" s="50">
        <f>F3*(1+REvenuegrowthRate)</f>
        <v>98547.834110976037</v>
      </c>
    </row>
    <row r="4" spans="2:7" x14ac:dyDescent="0.2">
      <c r="B4" s="51" t="s">
        <v>18</v>
      </c>
      <c r="C4" s="43">
        <f>'Projection sheet '!C3*('Historical Financial sheet '!$D4/'Historical Financial sheet '!D3)</f>
        <v>55296.000000000007</v>
      </c>
      <c r="D4" s="43">
        <f>D3*('Historical Financial sheet '!$D4/'Historical Financial sheet '!$D$3)</f>
        <v>59719.680000000015</v>
      </c>
      <c r="E4" s="43">
        <f>E3*('Historical Financial sheet '!$D4/'Historical Financial sheet '!$D$3)</f>
        <v>64497.25440000002</v>
      </c>
      <c r="F4" s="43">
        <f>F3*('Historical Financial sheet '!$D4/'Historical Financial sheet '!$D$3)</f>
        <v>69657.034752000021</v>
      </c>
      <c r="G4" s="52">
        <f>G3*('Historical Financial sheet '!$D4/'Historical Financial sheet '!$D$3)</f>
        <v>75229.597532160027</v>
      </c>
    </row>
    <row r="5" spans="2:7" x14ac:dyDescent="0.2">
      <c r="B5" s="49" t="s">
        <v>19</v>
      </c>
      <c r="C5" s="42">
        <f>C3-C4</f>
        <v>17139.599999999999</v>
      </c>
      <c r="D5" s="42">
        <f>D3-D4</f>
        <v>18510.768000000004</v>
      </c>
      <c r="E5" s="42">
        <f>E3-E4</f>
        <v>19991.629440000004</v>
      </c>
      <c r="F5" s="42">
        <f t="shared" ref="F5:G5" si="0">F3-F4</f>
        <v>21590.959795200004</v>
      </c>
      <c r="G5" s="50">
        <f t="shared" si="0"/>
        <v>23318.23657881601</v>
      </c>
    </row>
    <row r="6" spans="2:7" x14ac:dyDescent="0.2">
      <c r="B6" s="51" t="s">
        <v>20</v>
      </c>
      <c r="C6" s="43">
        <f>C3*('Historical Financial sheet '!$D6/'Historical Financial sheet '!D3)</f>
        <v>7344.0000000000009</v>
      </c>
      <c r="D6" s="43">
        <f>D3*('Historical Financial sheet '!$D6/'Historical Financial sheet '!$D$3)</f>
        <v>7931.5200000000023</v>
      </c>
      <c r="E6" s="43">
        <f>E3*('Historical Financial sheet '!$D6/'Historical Financial sheet '!$D$3)</f>
        <v>8566.0416000000023</v>
      </c>
      <c r="F6" s="43">
        <f>F3*('Historical Financial sheet '!$D6/'Historical Financial sheet '!$D$3)</f>
        <v>9251.3249280000036</v>
      </c>
      <c r="G6" s="52">
        <f>G3*('Historical Financial sheet '!$D6/'Historical Financial sheet '!$D$3)</f>
        <v>9991.4309222400043</v>
      </c>
    </row>
    <row r="7" spans="2:7" x14ac:dyDescent="0.2">
      <c r="B7" s="49" t="s">
        <v>21</v>
      </c>
      <c r="C7" s="42">
        <f>C5-C6</f>
        <v>9795.5999999999985</v>
      </c>
      <c r="D7" s="42">
        <f t="shared" ref="D7:G7" si="1">D5-D6</f>
        <v>10579.248000000001</v>
      </c>
      <c r="E7" s="42">
        <f t="shared" si="1"/>
        <v>11425.587840000002</v>
      </c>
      <c r="F7" s="42">
        <f t="shared" si="1"/>
        <v>12339.6348672</v>
      </c>
      <c r="G7" s="50">
        <f t="shared" si="1"/>
        <v>13326.805656576005</v>
      </c>
    </row>
    <row r="8" spans="2:7" x14ac:dyDescent="0.2">
      <c r="B8" s="51" t="s">
        <v>22</v>
      </c>
      <c r="C8" s="43">
        <f>C3*DEpreciationpct</f>
        <v>2173.0680000000002</v>
      </c>
      <c r="D8" s="43">
        <f>D3*DEpreciationpct</f>
        <v>2346.9134400000003</v>
      </c>
      <c r="E8" s="43">
        <f>E3*DEpreciationpct</f>
        <v>2534.6665152000005</v>
      </c>
      <c r="F8" s="43">
        <f>F3*DEpreciationpct</f>
        <v>2737.4398364160006</v>
      </c>
      <c r="G8" s="52">
        <f>G3*DEpreciationpct</f>
        <v>2956.4350233292812</v>
      </c>
    </row>
    <row r="9" spans="2:7" x14ac:dyDescent="0.2">
      <c r="B9" s="49" t="s">
        <v>23</v>
      </c>
      <c r="C9" s="42">
        <f>C7-C8</f>
        <v>7622.5319999999983</v>
      </c>
      <c r="D9" s="42">
        <f t="shared" ref="D9:G9" si="2">D7-D8</f>
        <v>8232.3345600000011</v>
      </c>
      <c r="E9" s="42">
        <f t="shared" si="2"/>
        <v>8890.9213248000015</v>
      </c>
      <c r="F9" s="42">
        <f t="shared" si="2"/>
        <v>9602.1950307839998</v>
      </c>
      <c r="G9" s="50">
        <f t="shared" si="2"/>
        <v>10370.370633246725</v>
      </c>
    </row>
    <row r="10" spans="2:7" x14ac:dyDescent="0.2">
      <c r="B10" s="51" t="s">
        <v>24</v>
      </c>
      <c r="C10" s="43">
        <f>IF(C9&gt;0,C9*Taxrate,0)</f>
        <v>1905.6329999999996</v>
      </c>
      <c r="D10" s="43">
        <f>IF(D9&gt;0,D9*Taxrate,0)</f>
        <v>2058.0836400000003</v>
      </c>
      <c r="E10" s="43">
        <f>IF(E9&gt;0,E9*Taxrate,0)</f>
        <v>2222.7303312000004</v>
      </c>
      <c r="F10" s="43">
        <f>IF(F9&gt;0,F9*Taxrate,0)</f>
        <v>2400.5487576959999</v>
      </c>
      <c r="G10" s="52">
        <f>IF(G9&gt;0,G9*Taxrate,0)</f>
        <v>2592.5926583116811</v>
      </c>
    </row>
    <row r="11" spans="2:7" x14ac:dyDescent="0.2">
      <c r="B11" s="49" t="s">
        <v>25</v>
      </c>
      <c r="C11" s="42">
        <f>C9-C10</f>
        <v>5716.8989999999985</v>
      </c>
      <c r="D11" s="42">
        <f t="shared" ref="D11:G11" si="3">D9-D10</f>
        <v>6174.2509200000004</v>
      </c>
      <c r="E11" s="42">
        <f t="shared" si="3"/>
        <v>6668.1909936000011</v>
      </c>
      <c r="F11" s="42">
        <f t="shared" si="3"/>
        <v>7201.6462730879994</v>
      </c>
      <c r="G11" s="50">
        <f t="shared" si="3"/>
        <v>7777.7779749350429</v>
      </c>
    </row>
    <row r="12" spans="2:7" x14ac:dyDescent="0.2">
      <c r="B12" s="51" t="s">
        <v>72</v>
      </c>
      <c r="C12" s="43">
        <f>(C3*WCpct)</f>
        <v>7243.5600000000013</v>
      </c>
      <c r="D12" s="43">
        <f>D3*WCpct-'Historical Financial sheet '!E27</f>
        <v>7823.0448000000024</v>
      </c>
      <c r="E12" s="43">
        <f>E3*WCpct-'Historical Financial sheet '!F27</f>
        <v>8448.8883840000035</v>
      </c>
      <c r="F12" s="43">
        <f>F3*WCpct-'Historical Financial sheet '!G27</f>
        <v>9124.7994547200033</v>
      </c>
      <c r="G12" s="52">
        <f>G3*WCpct-'Historical Financial sheet '!H27</f>
        <v>9854.7834110976037</v>
      </c>
    </row>
    <row r="13" spans="2:7" x14ac:dyDescent="0.2">
      <c r="B13" s="49" t="s">
        <v>46</v>
      </c>
      <c r="C13" s="42">
        <f>C3*CAPEXPCT</f>
        <v>3621.7800000000007</v>
      </c>
      <c r="D13" s="42">
        <f>D3*CAPEXPCT</f>
        <v>3911.5224000000012</v>
      </c>
      <c r="E13" s="42">
        <f>E3*CAPEXPCT</f>
        <v>4224.4441920000017</v>
      </c>
      <c r="F13" s="42">
        <f>F3*CAPEXPCT</f>
        <v>4562.3997273600016</v>
      </c>
      <c r="G13" s="50">
        <f>G3*CAPEXPCT</f>
        <v>4927.3917055488018</v>
      </c>
    </row>
    <row r="14" spans="2:7" x14ac:dyDescent="0.2">
      <c r="B14" s="49" t="s">
        <v>73</v>
      </c>
      <c r="C14" s="42">
        <f>C12-'Historical Financial sheet '!D27</f>
        <v>2843.5600000000013</v>
      </c>
      <c r="D14" s="42">
        <f>D12-C12</f>
        <v>579.48480000000109</v>
      </c>
      <c r="E14" s="42">
        <f t="shared" ref="E14:G14" si="4">E12-D12</f>
        <v>625.8435840000011</v>
      </c>
      <c r="F14" s="42">
        <f t="shared" si="4"/>
        <v>675.91107071999977</v>
      </c>
      <c r="G14" s="50">
        <f t="shared" si="4"/>
        <v>729.98395637760041</v>
      </c>
    </row>
    <row r="15" spans="2:7" ht="17" thickBot="1" x14ac:dyDescent="0.25">
      <c r="B15" s="53" t="s">
        <v>51</v>
      </c>
      <c r="C15" s="54">
        <f>C11+C8-C13-C14</f>
        <v>1424.6269999999968</v>
      </c>
      <c r="D15" s="54">
        <f t="shared" ref="D15:G15" si="5">D11+D8-D13-D14</f>
        <v>4030.1571599999979</v>
      </c>
      <c r="E15" s="54">
        <f t="shared" si="5"/>
        <v>4352.5697327999987</v>
      </c>
      <c r="F15" s="54">
        <f t="shared" si="5"/>
        <v>4700.7753114239986</v>
      </c>
      <c r="G15" s="55">
        <f t="shared" si="5"/>
        <v>5076.8373363379214</v>
      </c>
    </row>
  </sheetData>
  <pageMargins left="0.7" right="0.7" top="0.75" bottom="0.75" header="0.3" footer="0.3"/>
  <ignoredErrors>
    <ignoredError sqref="C10:G10 C6:G6 C8:G8" formula="1"/>
    <ignoredError sqref="C2 E2:G2" numberStoredAsText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30D9-56C8-5743-9CD5-4961C6EADA26}">
  <dimension ref="A2:G10"/>
  <sheetViews>
    <sheetView showGridLines="0" zoomScale="171" workbookViewId="0">
      <selection activeCell="G10" sqref="G10"/>
    </sheetView>
  </sheetViews>
  <sheetFormatPr baseColWidth="10" defaultRowHeight="16" x14ac:dyDescent="0.2"/>
  <cols>
    <col min="1" max="2" width="24.5" bestFit="1" customWidth="1"/>
  </cols>
  <sheetData>
    <row r="2" spans="1:7" ht="17" thickBot="1" x14ac:dyDescent="0.25"/>
    <row r="3" spans="1:7" ht="23" thickBot="1" x14ac:dyDescent="0.35">
      <c r="B3" s="70" t="s">
        <v>74</v>
      </c>
      <c r="C3" s="31"/>
      <c r="D3" s="31"/>
      <c r="E3" s="31"/>
      <c r="F3" s="31"/>
      <c r="G3" s="6"/>
    </row>
    <row r="4" spans="1:7" ht="22" x14ac:dyDescent="0.3">
      <c r="B4" s="39" t="s">
        <v>75</v>
      </c>
      <c r="C4" s="40" t="s">
        <v>53</v>
      </c>
      <c r="D4" s="40" t="s">
        <v>54</v>
      </c>
      <c r="E4" s="40" t="s">
        <v>55</v>
      </c>
      <c r="F4" s="40" t="s">
        <v>56</v>
      </c>
      <c r="G4" s="41" t="s">
        <v>57</v>
      </c>
    </row>
    <row r="5" spans="1:7" ht="22" x14ac:dyDescent="0.3">
      <c r="B5" s="56" t="s">
        <v>51</v>
      </c>
      <c r="C5" s="33">
        <f>'Projection sheet '!C15</f>
        <v>1424.6269999999968</v>
      </c>
      <c r="D5" s="33">
        <f>'Projection sheet '!D15</f>
        <v>4030.1571599999979</v>
      </c>
      <c r="E5" s="33">
        <f>'Projection sheet '!E15</f>
        <v>4352.5697327999987</v>
      </c>
      <c r="F5" s="33">
        <f>'Projection sheet '!F15</f>
        <v>4700.7753114239986</v>
      </c>
      <c r="G5" s="38">
        <f>'Projection sheet '!G15</f>
        <v>5076.8373363379214</v>
      </c>
    </row>
    <row r="6" spans="1:7" ht="22" x14ac:dyDescent="0.3">
      <c r="B6" s="35" t="s">
        <v>58</v>
      </c>
      <c r="C6" s="34">
        <f>1/(1+DIscountrate)^1</f>
        <v>0.90909090909090906</v>
      </c>
      <c r="D6" s="34">
        <f>1/(1+DIscountrate)^2</f>
        <v>0.82644628099173545</v>
      </c>
      <c r="E6" s="34">
        <f>1/(1+DIscountrate)^3</f>
        <v>0.75131480090157754</v>
      </c>
      <c r="F6" s="34">
        <f>1/(1+DIscountrate)^4</f>
        <v>0.68301345536507052</v>
      </c>
      <c r="G6" s="36">
        <f>1/(1+DIscountrate)^5</f>
        <v>0.62092132305915493</v>
      </c>
    </row>
    <row r="7" spans="1:7" ht="22" x14ac:dyDescent="0.3">
      <c r="B7" s="37" t="s">
        <v>59</v>
      </c>
      <c r="C7" s="33">
        <f>C5*C6</f>
        <v>1295.1154545454515</v>
      </c>
      <c r="D7" s="33">
        <f t="shared" ref="D7:G7" si="0">D5*D6</f>
        <v>3330.7083966942128</v>
      </c>
      <c r="E7" s="33">
        <f t="shared" si="0"/>
        <v>3270.1500622088638</v>
      </c>
      <c r="F7" s="33">
        <f t="shared" si="0"/>
        <v>3210.6927883505209</v>
      </c>
      <c r="G7" s="38">
        <f t="shared" si="0"/>
        <v>3152.3165558350579</v>
      </c>
    </row>
    <row r="8" spans="1:7" ht="22" x14ac:dyDescent="0.3">
      <c r="B8" s="35" t="s">
        <v>60</v>
      </c>
      <c r="C8" s="57"/>
      <c r="D8" s="58"/>
      <c r="E8" s="58"/>
      <c r="F8" s="63"/>
      <c r="G8" s="66">
        <f>G5*(1+0.03)/(DIscountrate-0.03)</f>
        <v>74702.035091829413</v>
      </c>
    </row>
    <row r="9" spans="1:7" ht="22" x14ac:dyDescent="0.3">
      <c r="B9" s="37" t="s">
        <v>61</v>
      </c>
      <c r="C9" s="59"/>
      <c r="D9" s="60"/>
      <c r="E9" s="60"/>
      <c r="F9" s="64"/>
      <c r="G9" s="67">
        <f>G8/(1+DIscountrate)^5</f>
        <v>46384.08646443014</v>
      </c>
    </row>
    <row r="10" spans="1:7" ht="23" thickBot="1" x14ac:dyDescent="0.35">
      <c r="A10" s="32"/>
      <c r="B10" s="68" t="s">
        <v>62</v>
      </c>
      <c r="C10" s="61"/>
      <c r="D10" s="62"/>
      <c r="E10" s="62"/>
      <c r="F10" s="65"/>
      <c r="G10" s="69">
        <f>C7+D7+E7+F7+G7+G9</f>
        <v>60643.069722064247</v>
      </c>
    </row>
  </sheetData>
  <mergeCells count="3">
    <mergeCell ref="C8:F8"/>
    <mergeCell ref="C9:F9"/>
    <mergeCell ref="C10:F10"/>
  </mergeCells>
  <pageMargins left="0.7" right="0.7" top="0.75" bottom="0.75" header="0.3" footer="0.3"/>
  <ignoredErrors>
    <ignoredError sqref="C4:G4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Assumption sheet </vt:lpstr>
      <vt:lpstr>Historical Financial sheet </vt:lpstr>
      <vt:lpstr>Projection sheet </vt:lpstr>
      <vt:lpstr>DCF valuation</vt:lpstr>
      <vt:lpstr>CAPEXPCT</vt:lpstr>
      <vt:lpstr>DEpreciationpct</vt:lpstr>
      <vt:lpstr>DIscountrate</vt:lpstr>
      <vt:lpstr>EBITMargin</vt:lpstr>
      <vt:lpstr>REvenuegrowthRate</vt:lpstr>
      <vt:lpstr>Taxrate</vt:lpstr>
      <vt:lpstr>WCpct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Jain</dc:creator>
  <cp:lastModifiedBy>Sanskar Jain</cp:lastModifiedBy>
  <dcterms:created xsi:type="dcterms:W3CDTF">2025-10-03T17:08:47Z</dcterms:created>
  <dcterms:modified xsi:type="dcterms:W3CDTF">2026-01-06T17:27:41Z</dcterms:modified>
</cp:coreProperties>
</file>